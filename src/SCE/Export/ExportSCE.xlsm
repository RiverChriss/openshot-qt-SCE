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ristopher Cruz\Documents\Github\openshot-qt-SCE\src\SCE\Export\"/>
    </mc:Choice>
  </mc:AlternateContent>
  <xr:revisionPtr revIDLastSave="0" documentId="13_ncr:1_{51C2CCD1-3523-475A-B479-63832D9B0FE9}" xr6:coauthVersionLast="47" xr6:coauthVersionMax="47" xr10:uidLastSave="{00000000-0000-0000-0000-000000000000}"/>
  <bookViews>
    <workbookView xWindow="810" yWindow="-120" windowWidth="28110" windowHeight="16440" xr2:uid="{EB1571F1-1E39-467A-AEF9-1F871B1AD58B}"/>
  </bookViews>
  <sheets>
    <sheet name="Rapport Général" sheetId="7" r:id="rId1"/>
    <sheet name="Data brute" sheetId="12" r:id="rId2"/>
  </sheets>
  <definedNames>
    <definedName name="_xlpm.colNum" hidden="1" xlm="1">#NAME?</definedName>
    <definedName name="_xlpm.colText" hidden="1" xlm="1">#NAME?</definedName>
    <definedName name="_xlpm.excelPath" hidden="1" xlm="1">#NAME?</definedName>
    <definedName name="_xlpm.header" hidden="1" xlm="1">#NAME?</definedName>
    <definedName name="_xlpm.indexBegin" hidden="1" xlm="1">#NAME?</definedName>
    <definedName name="_xlpm.indexEnd" hidden="1" xlm="1">#NAME?</definedName>
    <definedName name="_xlpm.table" hidden="1" xlm="1">#NAME?</definedName>
    <definedName name="DonnéesExternes_1" localSheetId="1" hidden="1">'Data brute'!$A$6:$E$80</definedName>
    <definedName name="FilePath">'Data brute'!$B$3</definedName>
    <definedName name="NomFichierCSV">'Data brute'!$B$1</definedName>
    <definedName name="PathFileExcel">'Data brute'!$B$2</definedName>
    <definedName name="Segment_Description1">#N/A</definedName>
    <definedName name="Segment_Track1">#N/A</definedName>
  </definedNames>
  <calcPr calcId="191029"/>
  <pivotCaches>
    <pivotCache cacheId="97" r:id="rId3"/>
  </pivotCaches>
  <extLst>
    <ext xmlns:x14="http://schemas.microsoft.com/office/spreadsheetml/2009/9/main" uri="{BBE1A952-AA13-448e-AADC-164F8A28A991}">
      <x14:slicerCaches>
        <x14:slicerCache r:id="rId4"/>
        <x14:slicerCache r:id="rId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2" l="1" a="1"/>
  <c r="B2" i="12" s="1"/>
  <c r="B3" i="12" s="1"/>
  <c r="A3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3AB1FE-95E7-4551-8D9A-9E51E332D47C}" keepAlive="1" name="Requête - ExportSCE" description="Connexion à la requête « ExportSCE » dans le classeur." type="5" refreshedVersion="8" background="1" refreshOnLoad="1" saveData="1">
    <dbPr connection="Provider=Microsoft.Mashup.OleDb.1;Data Source=$Workbook$;Location=ExportSCE;Extended Properties=&quot;&quot;" command="SELECT * FROM [ExportSCE]"/>
  </connection>
  <connection id="2" xr16:uid="{93696BD9-FDAD-43AC-964A-66539A6B06FC}" odcFile="C:\Users\Cristopher Cruz\Documents\Mes sources de données\Requête - functionGetNamedRange.odc" keepAlive="1" name="Requête - functionGetNamedRange" description="Connexion à la requête « functionGetNamedRange » dans le classeur." type="5" refreshedVersion="0" new="1" background="1">
    <dbPr connection="Provider=Microsoft.Mashup.OleDb.1;Data Source=$Workbook$;Location=functionGetNamedRange;Extended Properties=&quot;&quot;" command="SELECT * FROM [functionGetNamedRang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<sst xmlns="http://schemas.openxmlformats.org/spreadsheetml/2006/main" count="264" uniqueCount="55">
  <si>
    <t>Total général</t>
  </si>
  <si>
    <t>Répétition</t>
  </si>
  <si>
    <t>Étiquettes de lignes</t>
  </si>
  <si>
    <t>Somme de Duration</t>
  </si>
  <si>
    <t>Moyenne de Duration</t>
  </si>
  <si>
    <t>Pourcentage</t>
  </si>
  <si>
    <t>Nom du fichier CSV</t>
  </si>
  <si>
    <t>ExportSCE.csv</t>
  </si>
  <si>
    <t>Le chemin de ce fichier Excel</t>
  </si>
  <si>
    <t>Description</t>
  </si>
  <si>
    <t>Color</t>
  </si>
  <si>
    <t>Track</t>
  </si>
  <si>
    <t>Position</t>
  </si>
  <si>
    <t>Duration</t>
  </si>
  <si>
    <t>ErgoDemo.webm</t>
  </si>
  <si>
    <t/>
  </si>
  <si>
    <t>Video</t>
  </si>
  <si>
    <t>Exemple boite carton</t>
  </si>
  <si>
    <t>#99c1f1</t>
  </si>
  <si>
    <t>Cycle</t>
  </si>
  <si>
    <t>Exemple pallet de bois</t>
  </si>
  <si>
    <t>#8ff0a4</t>
  </si>
  <si>
    <t>Exemple constructeur</t>
  </si>
  <si>
    <t>#f9f06b</t>
  </si>
  <si>
    <t>Exemple livreure</t>
  </si>
  <si>
    <t>#ffbe6f</t>
  </si>
  <si>
    <t>Exemple bureau</t>
  </si>
  <si>
    <t>#dc8add</t>
  </si>
  <si>
    <t>Exemple travaux extérieur</t>
  </si>
  <si>
    <t>#cdab8f</t>
  </si>
  <si>
    <t>Lever</t>
  </si>
  <si>
    <t>#1a5fb4</t>
  </si>
  <si>
    <t>Task</t>
  </si>
  <si>
    <t>Déposer</t>
  </si>
  <si>
    <t>#00c2ff</t>
  </si>
  <si>
    <t>Mouvement non-ergonomique</t>
  </si>
  <si>
    <t>#e01b24</t>
  </si>
  <si>
    <t>Anomalie</t>
  </si>
  <si>
    <t>LA</t>
  </si>
  <si>
    <t>#c64600</t>
  </si>
  <si>
    <t>LeftAction</t>
  </si>
  <si>
    <t>RA</t>
  </si>
  <si>
    <t>#613583</t>
  </si>
  <si>
    <t>RightAction</t>
  </si>
  <si>
    <t>Charge trop élevé</t>
  </si>
  <si>
    <t>Valeur Ajoutée</t>
  </si>
  <si>
    <t>#26a269</t>
  </si>
  <si>
    <t>Analysis</t>
  </si>
  <si>
    <t>Total Video</t>
  </si>
  <si>
    <t>Total Cycle</t>
  </si>
  <si>
    <t>Total Task</t>
  </si>
  <si>
    <t>Total Anomalie</t>
  </si>
  <si>
    <t>Total LeftAction</t>
  </si>
  <si>
    <t>Total RightAction</t>
  </si>
  <si>
    <t>Total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</si>
</sst>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&quot; s&quot;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2" fillId="0" borderId="0" xfId="0" pivotButton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</cellXfs>
  <cellStyles count="1">
    <cellStyle name="Normal" xfId="0" builtinId="0"/>
  </cellStyles>
  <dxfs count="28">
    <dxf>
      <numFmt numFmtId="164" formatCode="0.00&quot; s&quot;"/>
    </dxf>
    <dxf>
      <numFmt numFmtId="164" formatCode="0.00&quot; s&quot;"/>
    </dxf>
    <dxf>
      <font>
        <sz val="14"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b/>
      </font>
    </dxf>
    <dxf>
      <font>
        <b/>
      </font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microsoft.com/office/2007/relationships/slicerCache" Target="slicerCaches/slicerCache2.xml"/><Relationship Id="rId10" Type="http://schemas.openxmlformats.org/officeDocument/2006/relationships/sheetMetadata" Target="metadata.xml"/><Relationship Id="rId4" Type="http://schemas.microsoft.com/office/2007/relationships/slicerCache" Target="slicerCaches/slicerCache1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14</xdr:col>
      <xdr:colOff>0</xdr:colOff>
      <xdr:row>33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escription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ti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25275" y="190500"/>
              <a:ext cx="2286000" cy="619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952499</xdr:colOff>
      <xdr:row>1</xdr:row>
      <xdr:rowOff>0</xdr:rowOff>
    </xdr:from>
    <xdr:to>
      <xdr:col>10</xdr:col>
      <xdr:colOff>0</xdr:colOff>
      <xdr:row>33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rack 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ack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05924" y="190500"/>
              <a:ext cx="2286001" cy="619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15</xdr:col>
      <xdr:colOff>0</xdr:colOff>
      <xdr:row>1</xdr:row>
      <xdr:rowOff>0</xdr:rowOff>
    </xdr:from>
    <xdr:to>
      <xdr:col>18</xdr:col>
      <xdr:colOff>0</xdr:colOff>
      <xdr:row>4</xdr:row>
      <xdr:rowOff>0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C4309F28-84C7-594F-B633-49CA9FFA2EA5}"/>
            </a:ext>
          </a:extLst>
        </xdr:cNvPr>
        <xdr:cNvGrpSpPr/>
      </xdr:nvGrpSpPr>
      <xdr:grpSpPr>
        <a:xfrm>
          <a:off x="13011150" y="190500"/>
          <a:ext cx="2286000" cy="619125"/>
          <a:chOff x="13011150" y="762000"/>
          <a:chExt cx="2286000" cy="619125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47F671B-1B0E-97B3-AEE1-207F41AA1D29}"/>
              </a:ext>
            </a:extLst>
          </xdr:cNvPr>
          <xdr:cNvSpPr/>
        </xdr:nvSpPr>
        <xdr:spPr>
          <a:xfrm>
            <a:off x="13011150" y="762000"/>
            <a:ext cx="2286000" cy="619125"/>
          </a:xfrm>
          <a:prstGeom prst="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3011150" y="762000"/>
                <a:ext cx="2286000" cy="619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CA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Rafraîchir données</a:t>
                </a:r>
              </a:p>
            </xdr:txBody>
          </xdr:sp>
        </mc:Choice>
        <mc:Fallback/>
      </mc:AlternateContent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ristopher Cruz" refreshedDate="45144.751072916668" missingItemsLimit="0" createdVersion="8" refreshedVersion="8" minRefreshableVersion="3" recordCount="74" xr:uid="{FB7965F6-9078-4E35-BB76-DCAB0750B75E}">
  <cacheSource type="worksheet">
    <worksheetSource name="Tableau_ExportSCE"/>
  </cacheSource>
  <cacheFields count="5">
    <cacheField name="Description" numFmtId="0">
      <sharedItems count="14">
        <s v="ErgoDemo.webm"/>
        <s v="Exemple boite carton"/>
        <s v="Exemple pallet de bois"/>
        <s v="Exemple constructeur"/>
        <s v="Exemple livreure"/>
        <s v="Exemple bureau"/>
        <s v="Exemple travaux extérieur"/>
        <s v="Lever"/>
        <s v="Déposer"/>
        <s v="Mouvement non-ergonomique"/>
        <s v="LA"/>
        <s v="RA"/>
        <s v="Charge trop élevé"/>
        <s v="Valeur Ajoutée"/>
      </sharedItems>
    </cacheField>
    <cacheField name="Color" numFmtId="0">
      <sharedItems/>
    </cacheField>
    <cacheField name="Track" numFmtId="0">
      <sharedItems count="7">
        <s v="Video"/>
        <s v="Cycle"/>
        <s v="Task"/>
        <s v="Anomalie"/>
        <s v="LeftAction"/>
        <s v="RightAction"/>
        <s v="Analysis"/>
      </sharedItems>
    </cacheField>
    <cacheField name="Position" numFmtId="0">
      <sharedItems containsSemiMixedTypes="0" containsString="0" containsNumber="1" minValue="0" maxValue="165.0333"/>
    </cacheField>
    <cacheField name="Duration" numFmtId="0">
      <sharedItems containsSemiMixedTypes="0" containsString="0" containsNumber="1" minValue="0.4" maxValue="166.566"/>
    </cacheField>
  </cacheFields>
  <extLst>
    <ext xmlns:x14="http://schemas.microsoft.com/office/spreadsheetml/2009/9/main" uri="{725AE2AE-9491-48be-B2B4-4EB974FC3084}">
      <x14:pivotCacheDefinition pivotCacheId="142315105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">
  <r>
    <x v="0"/>
    <s v=""/>
    <x v="0"/>
    <n v="0"/>
    <n v="166.566"/>
  </r>
  <r>
    <x v="1"/>
    <s v="#99c1f1"/>
    <x v="1"/>
    <n v="0"/>
    <n v="27.1"/>
  </r>
  <r>
    <x v="2"/>
    <s v="#8ff0a4"/>
    <x v="1"/>
    <n v="27.1"/>
    <n v="13.533300000000001"/>
  </r>
  <r>
    <x v="3"/>
    <s v="#f9f06b"/>
    <x v="1"/>
    <n v="40.633299999999998"/>
    <n v="22.966699999999999"/>
  </r>
  <r>
    <x v="4"/>
    <s v="#ffbe6f"/>
    <x v="1"/>
    <n v="63.6"/>
    <n v="38.9"/>
  </r>
  <r>
    <x v="5"/>
    <s v="#dc8add"/>
    <x v="1"/>
    <n v="102.5"/>
    <n v="40.799999999999997"/>
  </r>
  <r>
    <x v="6"/>
    <s v="#cdab8f"/>
    <x v="1"/>
    <n v="143.30000000000001"/>
    <n v="23.265999999999998"/>
  </r>
  <r>
    <x v="7"/>
    <s v="#1a5fb4"/>
    <x v="2"/>
    <n v="0"/>
    <n v="15.466699999999999"/>
  </r>
  <r>
    <x v="8"/>
    <s v="#00c2ff"/>
    <x v="2"/>
    <n v="15.466699999999999"/>
    <n v="11.7"/>
  </r>
  <r>
    <x v="7"/>
    <s v="#1a5fb4"/>
    <x v="2"/>
    <n v="27.333300000000001"/>
    <n v="13.2333"/>
  </r>
  <r>
    <x v="7"/>
    <s v="#1a5fb4"/>
    <x v="2"/>
    <n v="40.700000000000003"/>
    <n v="9.6"/>
  </r>
  <r>
    <x v="7"/>
    <s v="#1a5fb4"/>
    <x v="2"/>
    <n v="50.3"/>
    <n v="12.7333"/>
  </r>
  <r>
    <x v="7"/>
    <s v="#1a5fb4"/>
    <x v="2"/>
    <n v="63.033299999999997"/>
    <n v="7.0667"/>
  </r>
  <r>
    <x v="8"/>
    <s v="#00c2ff"/>
    <x v="2"/>
    <n v="70.099999999999994"/>
    <n v="3.2"/>
  </r>
  <r>
    <x v="7"/>
    <s v="#1a5fb4"/>
    <x v="2"/>
    <n v="73.3"/>
    <n v="8.0667000000000009"/>
  </r>
  <r>
    <x v="8"/>
    <s v="#00c2ff"/>
    <x v="2"/>
    <n v="81.366699999999994"/>
    <n v="2.1333000000000002"/>
  </r>
  <r>
    <x v="9"/>
    <s v="#e01b24"/>
    <x v="3"/>
    <n v="83.7"/>
    <n v="2.4666999999999999"/>
  </r>
  <r>
    <x v="7"/>
    <s v="#1a5fb4"/>
    <x v="2"/>
    <n v="83.5"/>
    <n v="9.4666999999999994"/>
  </r>
  <r>
    <x v="7"/>
    <s v="#1a5fb4"/>
    <x v="2"/>
    <n v="92.966700000000003"/>
    <n v="9.2667000000000002"/>
  </r>
  <r>
    <x v="8"/>
    <s v="#00c2ff"/>
    <x v="2"/>
    <n v="113.4"/>
    <n v="4.5999999999999996"/>
  </r>
  <r>
    <x v="7"/>
    <s v="#1a5fb4"/>
    <x v="2"/>
    <n v="134.5"/>
    <n v="8.2332999999999998"/>
  </r>
  <r>
    <x v="7"/>
    <s v="#1a5fb4"/>
    <x v="2"/>
    <n v="153.19999999999999"/>
    <n v="7.3333000000000004"/>
  </r>
  <r>
    <x v="8"/>
    <s v="#00c2ff"/>
    <x v="2"/>
    <n v="160.5333"/>
    <n v="1.7333000000000001"/>
  </r>
  <r>
    <x v="9"/>
    <s v="#e01b24"/>
    <x v="3"/>
    <n v="162.23330000000001"/>
    <n v="2.5667"/>
  </r>
  <r>
    <x v="7"/>
    <s v="#1a5fb4"/>
    <x v="2"/>
    <n v="162.26669999999999"/>
    <n v="2.7667000000000002"/>
  </r>
  <r>
    <x v="8"/>
    <s v="#00c2ff"/>
    <x v="2"/>
    <n v="165.0333"/>
    <n v="1.5327"/>
  </r>
  <r>
    <x v="10"/>
    <s v="#c64600"/>
    <x v="4"/>
    <n v="0.86670000000000003"/>
    <n v="2.9666999999999999"/>
  </r>
  <r>
    <x v="11"/>
    <s v="#613583"/>
    <x v="5"/>
    <n v="0.86670000000000003"/>
    <n v="6.9333"/>
  </r>
  <r>
    <x v="10"/>
    <s v="#c64600"/>
    <x v="4"/>
    <n v="3.8332999999999999"/>
    <n v="3.9666999999999999"/>
  </r>
  <r>
    <x v="10"/>
    <s v="#c64600"/>
    <x v="4"/>
    <n v="7.8"/>
    <n v="1.8"/>
  </r>
  <r>
    <x v="11"/>
    <s v="#613583"/>
    <x v="5"/>
    <n v="7.8"/>
    <n v="1.8"/>
  </r>
  <r>
    <x v="10"/>
    <s v="#c64600"/>
    <x v="4"/>
    <n v="9.6"/>
    <n v="2.4666999999999999"/>
  </r>
  <r>
    <x v="11"/>
    <s v="#613583"/>
    <x v="5"/>
    <n v="9.6"/>
    <n v="4.4333"/>
  </r>
  <r>
    <x v="10"/>
    <s v="#c64600"/>
    <x v="4"/>
    <n v="12.066700000000001"/>
    <n v="1.9666999999999999"/>
  </r>
  <r>
    <x v="10"/>
    <s v="#c64600"/>
    <x v="4"/>
    <n v="14.033300000000001"/>
    <n v="1.3667"/>
  </r>
  <r>
    <x v="11"/>
    <s v="#613583"/>
    <x v="5"/>
    <n v="14.033300000000001"/>
    <n v="1.3667"/>
  </r>
  <r>
    <x v="10"/>
    <s v="#c64600"/>
    <x v="4"/>
    <n v="15.4"/>
    <n v="2.0667"/>
  </r>
  <r>
    <x v="11"/>
    <s v="#613583"/>
    <x v="5"/>
    <n v="15.4"/>
    <n v="1.0667"/>
  </r>
  <r>
    <x v="11"/>
    <s v="#613583"/>
    <x v="5"/>
    <n v="16.466699999999999"/>
    <n v="2.4333"/>
  </r>
  <r>
    <x v="10"/>
    <s v="#c64600"/>
    <x v="4"/>
    <n v="17.466699999999999"/>
    <n v="1.4333"/>
  </r>
  <r>
    <x v="10"/>
    <s v="#c64600"/>
    <x v="4"/>
    <n v="18.899999999999999"/>
    <n v="0.73329999999999995"/>
  </r>
  <r>
    <x v="11"/>
    <s v="#613583"/>
    <x v="5"/>
    <n v="18.899999999999999"/>
    <n v="0.73329999999999995"/>
  </r>
  <r>
    <x v="10"/>
    <s v="#c64600"/>
    <x v="4"/>
    <n v="19.633299999999998"/>
    <n v="2.1"/>
  </r>
  <r>
    <x v="11"/>
    <s v="#613583"/>
    <x v="5"/>
    <n v="19.633299999999998"/>
    <n v="2.1"/>
  </r>
  <r>
    <x v="10"/>
    <s v="#c64600"/>
    <x v="4"/>
    <n v="21.7333"/>
    <n v="1.7666999999999999"/>
  </r>
  <r>
    <x v="11"/>
    <s v="#613583"/>
    <x v="5"/>
    <n v="21.7333"/>
    <n v="1.7666999999999999"/>
  </r>
  <r>
    <x v="10"/>
    <s v="#c64600"/>
    <x v="4"/>
    <n v="23.5"/>
    <n v="2.4333"/>
  </r>
  <r>
    <x v="11"/>
    <s v="#613583"/>
    <x v="5"/>
    <n v="23.5"/>
    <n v="2.4333"/>
  </r>
  <r>
    <x v="10"/>
    <s v="#c64600"/>
    <x v="4"/>
    <n v="29.033300000000001"/>
    <n v="2.4"/>
  </r>
  <r>
    <x v="11"/>
    <s v="#613583"/>
    <x v="5"/>
    <n v="29.033300000000001"/>
    <n v="2.4"/>
  </r>
  <r>
    <x v="11"/>
    <s v="#613583"/>
    <x v="5"/>
    <n v="31.433299999999999"/>
    <n v="4.4667000000000003"/>
  </r>
  <r>
    <x v="10"/>
    <s v="#c64600"/>
    <x v="4"/>
    <n v="31.433299999999999"/>
    <n v="4.4667000000000003"/>
  </r>
  <r>
    <x v="10"/>
    <s v="#c64600"/>
    <x v="4"/>
    <n v="35.9"/>
    <n v="1.7333000000000001"/>
  </r>
  <r>
    <x v="11"/>
    <s v="#613583"/>
    <x v="5"/>
    <n v="35.9"/>
    <n v="2.3332999999999999"/>
  </r>
  <r>
    <x v="10"/>
    <s v="#c64600"/>
    <x v="4"/>
    <n v="37.633299999999998"/>
    <n v="1.0667"/>
  </r>
  <r>
    <x v="11"/>
    <s v="#613583"/>
    <x v="5"/>
    <n v="38.2333"/>
    <n v="2.4333"/>
  </r>
  <r>
    <x v="10"/>
    <s v="#c64600"/>
    <x v="4"/>
    <n v="38.700000000000003"/>
    <n v="1.9666999999999999"/>
  </r>
  <r>
    <x v="10"/>
    <s v="#c64600"/>
    <x v="4"/>
    <n v="40.666699999999999"/>
    <n v="0.66669999999999996"/>
  </r>
  <r>
    <x v="11"/>
    <s v="#613583"/>
    <x v="5"/>
    <n v="40.666699999999999"/>
    <n v="1.0667"/>
  </r>
  <r>
    <x v="10"/>
    <s v="#c64600"/>
    <x v="4"/>
    <n v="41.333300000000001"/>
    <n v="1.2666999999999999"/>
  </r>
  <r>
    <x v="11"/>
    <s v="#613583"/>
    <x v="5"/>
    <n v="41.7333"/>
    <n v="1.2"/>
  </r>
  <r>
    <x v="10"/>
    <s v="#c64600"/>
    <x v="4"/>
    <n v="42.6"/>
    <n v="0.4"/>
  </r>
  <r>
    <x v="11"/>
    <s v="#613583"/>
    <x v="5"/>
    <n v="42.933300000000003"/>
    <n v="1.8"/>
  </r>
  <r>
    <x v="10"/>
    <s v="#c64600"/>
    <x v="4"/>
    <n v="43"/>
    <n v="1.6667000000000001"/>
  </r>
  <r>
    <x v="10"/>
    <s v="#c64600"/>
    <x v="4"/>
    <n v="44.666699999999999"/>
    <n v="1.7666999999999999"/>
  </r>
  <r>
    <x v="11"/>
    <s v="#613583"/>
    <x v="5"/>
    <n v="44.7333"/>
    <n v="1.3332999999999999"/>
  </r>
  <r>
    <x v="11"/>
    <s v="#613583"/>
    <x v="5"/>
    <n v="46.066699999999997"/>
    <n v="0.83330000000000004"/>
  </r>
  <r>
    <x v="10"/>
    <s v="#c64600"/>
    <x v="4"/>
    <n v="46.433300000000003"/>
    <n v="0.93330000000000002"/>
  </r>
  <r>
    <x v="11"/>
    <s v="#613583"/>
    <x v="5"/>
    <n v="46.9"/>
    <n v="0.9"/>
  </r>
  <r>
    <x v="10"/>
    <s v="#c64600"/>
    <x v="4"/>
    <n v="47.366700000000002"/>
    <n v="1.4333"/>
  </r>
  <r>
    <x v="11"/>
    <s v="#613583"/>
    <x v="5"/>
    <n v="47.8"/>
    <n v="1.9"/>
  </r>
  <r>
    <x v="12"/>
    <s v="#e01b24"/>
    <x v="3"/>
    <n v="41.166699999999999"/>
    <n v="8.6"/>
  </r>
  <r>
    <x v="13"/>
    <s v="#26a269"/>
    <x v="6"/>
    <n v="0.86670000000000003"/>
    <n v="39.566699999999997"/>
  </r>
  <r>
    <x v="13"/>
    <s v="#26a269"/>
    <x v="6"/>
    <n v="102.66670000000001"/>
    <n v="63.8992999999999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0FCD4E-7A74-42C9-A9C0-304CB172D2FD}" name="Tableau croisé dynamique" cacheId="9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B2:F38" firstHeaderRow="0" firstDataRow="1" firstDataCol="1"/>
  <pivotFields count="5">
    <pivotField axis="axisRow" subtotalTop="0" showAll="0" insertBlankRow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ubtotalTop="0" showAll="0" insertBlankRow="1"/>
    <pivotField axis="axisRow" subtotalTop="0" showAll="0" insertBlankRow="1">
      <items count="8">
        <item x="0"/>
        <item x="1"/>
        <item x="2"/>
        <item x="3"/>
        <item x="4"/>
        <item x="5"/>
        <item x="6"/>
        <item t="default"/>
      </items>
    </pivotField>
    <pivotField subtotalTop="0" showAll="0" insertBlankRow="1"/>
    <pivotField dataField="1" subtotalTop="0" showAll="0" insertBlankRow="1"/>
  </pivotFields>
  <rowFields count="2">
    <field x="2"/>
    <field x="0"/>
  </rowFields>
  <rowItems count="36">
    <i>
      <x/>
    </i>
    <i r="1">
      <x/>
    </i>
    <i t="default">
      <x/>
    </i>
    <i t="blank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1"/>
    </i>
    <i t="blank">
      <x v="1"/>
    </i>
    <i>
      <x v="2"/>
    </i>
    <i r="1">
      <x v="7"/>
    </i>
    <i r="1">
      <x v="8"/>
    </i>
    <i t="default">
      <x v="2"/>
    </i>
    <i t="blank">
      <x v="2"/>
    </i>
    <i>
      <x v="3"/>
    </i>
    <i r="1">
      <x v="9"/>
    </i>
    <i r="1">
      <x v="12"/>
    </i>
    <i t="default">
      <x v="3"/>
    </i>
    <i t="blank">
      <x v="3"/>
    </i>
    <i>
      <x v="4"/>
    </i>
    <i r="1">
      <x v="10"/>
    </i>
    <i t="default">
      <x v="4"/>
    </i>
    <i t="blank">
      <x v="4"/>
    </i>
    <i>
      <x v="5"/>
    </i>
    <i r="1">
      <x v="11"/>
    </i>
    <i t="default">
      <x v="5"/>
    </i>
    <i t="blank">
      <x v="5"/>
    </i>
    <i>
      <x v="6"/>
    </i>
    <i r="1">
      <x v="13"/>
    </i>
    <i t="default">
      <x v="6"/>
    </i>
    <i t="blank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Répétition" fld="4" subtotal="count" baseField="2" baseItem="0" numFmtId="1"/>
    <dataField name="Moyenne de Duration" fld="4" subtotal="average" baseField="0" baseItem="0" numFmtId="164"/>
    <dataField name="Somme de Duration" fld="4" baseField="2" baseItem="0" numFmtId="164"/>
    <dataField name="Pourcentage" fld="4" baseField="2" baseItem="0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formats count="28"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2" type="button" dataOnly="0" labelOnly="1" outline="0" axis="axisRow" fieldPosition="0"/>
    </format>
    <format dxfId="24">
      <pivotArea dataOnly="0" labelOnly="1" fieldPosition="0">
        <references count="1">
          <reference field="2" count="0"/>
        </references>
      </pivotArea>
    </format>
    <format dxfId="23">
      <pivotArea dataOnly="0" labelOnly="1" fieldPosition="0">
        <references count="1">
          <reference field="2" count="0" defaultSubtotal="1"/>
        </references>
      </pivotArea>
    </format>
    <format dxfId="22">
      <pivotArea dataOnly="0" labelOnly="1" grandRow="1" outline="0" fieldPosition="0"/>
    </format>
    <format dxfId="2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7">
      <pivotArea field="2" type="button" dataOnly="0" labelOnly="1" outline="0" axis="axisRow" fieldPosition="0"/>
    </format>
    <format dxfId="16">
      <pivotArea dataOnly="0" labelOnly="1" fieldPosition="0">
        <references count="1">
          <reference field="2" count="0"/>
        </references>
      </pivotArea>
    </format>
    <format dxfId="15">
      <pivotArea dataOnly="0" labelOnly="1" fieldPosition="0">
        <references count="1">
          <reference field="2" count="0" defaultSubtotal="1"/>
        </references>
      </pivotArea>
    </format>
    <format dxfId="14">
      <pivotArea dataOnly="0" labelOnly="1" grandRow="1" outline="0" fieldPosition="0"/>
    </format>
    <format dxfId="13">
      <pivotArea field="2" type="button" dataOnly="0" labelOnly="1" outline="0" axis="axisRow" fieldPosition="0"/>
    </format>
    <format dxfId="12">
      <pivotArea dataOnly="0" labelOnly="1" fieldPosition="0">
        <references count="1">
          <reference field="2" count="0" defaultSubtotal="1"/>
        </references>
      </pivotArea>
    </format>
    <format dxfId="11">
      <pivotArea dataOnly="0" labelOnly="1" grandRow="1" outline="0" fieldPosition="0"/>
    </format>
    <format dxfId="10">
      <pivotArea dataOnly="0" labelOnly="1" fieldPosition="0">
        <references count="1">
          <reference field="2" count="0"/>
        </references>
      </pivotArea>
    </format>
    <format dxfId="9">
      <pivotArea dataOnly="0" labelOnly="1" fieldPosition="0">
        <references count="1">
          <reference field="0" count="0"/>
        </references>
      </pivotArea>
    </format>
    <format dxfId="8">
      <pivotArea field="2" type="button" dataOnly="0" labelOnly="1" outline="0" axis="axisRow" fieldPosition="0"/>
    </format>
    <format dxfId="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">
      <pivotArea field="2" type="button" dataOnly="0" labelOnly="1" outline="0" axis="axisRow" fieldPosition="0"/>
    </format>
    <format dxfId="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">
      <pivotArea grandRow="1" outline="0" collapsedLevelsAreSubtotals="1" fieldPosition="0"/>
    </format>
    <format dxfId="3">
      <pivotArea dataOnly="0" labelOnly="1" grandRow="1" outline="0" fieldPosition="0"/>
    </format>
    <format dxfId="2">
      <pivotArea grandRow="1" outline="0" collapsedLevelsAreSubtotals="1" fieldPosition="0"/>
    </format>
    <format dxfId="1">
      <pivotArea outline="0" fieldPosition="0">
        <references count="1">
          <reference field="4294967294" count="1">
            <x v="2"/>
          </reference>
        </references>
      </pivotArea>
    </format>
    <format dxfId="0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Medium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 InsertBlankRowDefault="1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refreshOnLoad="1" connectionId="1" xr16:uid="{99E1A18D-B1AD-4682-8E8C-6289379170E2}" autoFormatId="16" applyNumberFormats="0" applyBorderFormats="0" applyFontFormats="0" applyPatternFormats="0" applyAlignmentFormats="0" applyWidthHeightFormats="0">
  <queryTableRefresh nextId="11">
    <queryTableFields count="5">
      <queryTableField id="6" name="Description" tableColumnId="6"/>
      <queryTableField id="7" name="Color" tableColumnId="7"/>
      <queryTableField id="8" name="Track" tableColumnId="8"/>
      <queryTableField id="9" name="Position" tableColumnId="9"/>
      <queryTableField id="10" name="Duration" tableColumnId="1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Description1" xr10:uid="{0795B254-8A8D-4B55-9E30-C5EC53CE3C73}" sourceName="Description">
  <pivotTables>
    <pivotTable tabId="7" name="Tableau croisé dynamique"/>
  </pivotTables>
  <data>
    <tabular pivotCacheId="1423151059">
      <items count="14">
        <i x="12" s="1"/>
        <i x="8" s="1"/>
        <i x="0" s="1"/>
        <i x="1" s="1"/>
        <i x="5" s="1"/>
        <i x="3" s="1"/>
        <i x="4" s="1"/>
        <i x="2" s="1"/>
        <i x="6" s="1"/>
        <i x="10" s="1"/>
        <i x="7" s="1"/>
        <i x="9" s="1"/>
        <i x="11" s="1"/>
        <i x="13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Track1" xr10:uid="{AE9C050A-CB83-4309-833E-086AF69E2A31}" sourceName="Track">
  <pivotTables>
    <pivotTable tabId="7" name="Tableau croisé dynamique"/>
  </pivotTables>
  <data>
    <tabular pivotCacheId="1423151059">
      <items count="7">
        <i x="6" s="1"/>
        <i x="3" s="1"/>
        <i x="1" s="1"/>
        <i x="4" s="1"/>
        <i x="5" s="1"/>
        <i x="2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tion 1" xr10:uid="{38EDB24D-2763-41E8-BC71-BA329B86629E}" cache="Segment_Description1" caption="Description" style="SlicerStyleOther2" rowHeight="241300"/>
  <slicer name="Track 1" xr10:uid="{2F3A2503-36AC-4E65-A817-E9FEFA733E58}" cache="Segment_Track1" caption="Track" style="SlicerStyleOther2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6F32A3-4C58-49CC-8AFA-706C06052AD6}" name="Tableau_ExportSCE" displayName="Tableau_ExportSCE" ref="A6:E80" tableType="queryTable" totalsRowShown="0">
  <autoFilter ref="A6:E80" xr:uid="{796F32A3-4C58-49CC-8AFA-706C06052AD6}"/>
  <tableColumns count="5">
    <tableColumn id="6" xr3:uid="{D5A3C703-7CED-4FFB-9813-36A7EE0E879F}" uniqueName="6" name="Description" queryTableFieldId="6"/>
    <tableColumn id="7" xr3:uid="{90EF6989-6686-4B91-BBE4-9FBE6AB8D825}" uniqueName="7" name="Color" queryTableFieldId="7"/>
    <tableColumn id="8" xr3:uid="{FC222DA6-C804-4DA6-941C-0D8BCD579754}" uniqueName="8" name="Track" queryTableFieldId="8"/>
    <tableColumn id="9" xr3:uid="{3C6A4106-FFB6-49E9-A88B-1CA5C2C2D2DD}" uniqueName="9" name="Position" queryTableFieldId="9"/>
    <tableColumn id="10" xr3:uid="{6CBE2C10-0AC6-4ECD-B10A-A961D1681344}" uniqueName="10" name="Duration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56130-300F-45B0-80D7-A6A4DDC19E36}">
  <sheetPr codeName="Feuil1"/>
  <dimension ref="B1:G51"/>
  <sheetViews>
    <sheetView showGridLines="0" tabSelected="1" workbookViewId="0">
      <selection activeCell="R13" sqref="R13"/>
    </sheetView>
  </sheetViews>
  <sheetFormatPr baseColWidth="10" defaultRowHeight="15" x14ac:dyDescent="0.25"/>
  <cols>
    <col min="1" max="1" width="3.140625" style="2" customWidth="1"/>
    <col min="2" max="2" width="30.7109375" style="2" bestFit="1" customWidth="1"/>
    <col min="3" max="3" width="13.42578125" style="2" bestFit="1" customWidth="1"/>
    <col min="4" max="4" width="26.42578125" style="2" bestFit="1" customWidth="1"/>
    <col min="5" max="5" width="24" style="2" bestFit="1" customWidth="1"/>
    <col min="6" max="6" width="15.5703125" style="2" bestFit="1" customWidth="1"/>
    <col min="7" max="7" width="5.5703125" style="2" customWidth="1"/>
    <col min="8" max="10" width="11.42578125" style="2"/>
    <col min="11" max="11" width="2" style="2" customWidth="1"/>
    <col min="12" max="14" width="11.42578125" style="2"/>
    <col min="15" max="15" width="5.7109375" style="2" customWidth="1"/>
    <col min="16" max="16384" width="11.42578125" style="2"/>
  </cols>
  <sheetData>
    <row r="1" spans="2:7" x14ac:dyDescent="0.25">
      <c r="C1"/>
      <c r="D1"/>
      <c r="E1"/>
      <c r="F1"/>
      <c r="G1"/>
    </row>
    <row r="2" spans="2:7" ht="18.75" x14ac:dyDescent="0.25">
      <c r="B2" s="6" t="s">
        <v>2</v>
      </c>
      <c r="C2" s="7" t="s">
        <v>1</v>
      </c>
      <c r="D2" s="7" t="s">
        <v>4</v>
      </c>
      <c r="E2" s="7" t="s">
        <v>3</v>
      </c>
      <c r="F2" s="7" t="s">
        <v>5</v>
      </c>
      <c r="G2"/>
    </row>
    <row r="3" spans="2:7" x14ac:dyDescent="0.25">
      <c r="B3" s="1" t="s">
        <v>16</v>
      </c>
      <c r="C3" s="5"/>
      <c r="D3" s="10"/>
      <c r="E3" s="10"/>
      <c r="F3" s="3"/>
      <c r="G3"/>
    </row>
    <row r="4" spans="2:7" x14ac:dyDescent="0.25">
      <c r="B4" s="1" t="s">
        <v>14</v>
      </c>
      <c r="C4" s="5">
        <v>1</v>
      </c>
      <c r="D4" s="10">
        <v>166.566</v>
      </c>
      <c r="E4" s="10">
        <v>166.566</v>
      </c>
      <c r="F4" s="3">
        <v>1</v>
      </c>
      <c r="G4"/>
    </row>
    <row r="5" spans="2:7" x14ac:dyDescent="0.25">
      <c r="B5" s="2" t="s">
        <v>48</v>
      </c>
      <c r="C5" s="5">
        <v>1</v>
      </c>
      <c r="D5" s="10">
        <v>166.566</v>
      </c>
      <c r="E5" s="10">
        <v>166.566</v>
      </c>
      <c r="F5" s="3">
        <v>0.24900329765002627</v>
      </c>
      <c r="G5"/>
    </row>
    <row r="6" spans="2:7" x14ac:dyDescent="0.25">
      <c r="C6" s="5"/>
      <c r="D6" s="10"/>
      <c r="E6" s="10"/>
      <c r="F6" s="3"/>
      <c r="G6"/>
    </row>
    <row r="7" spans="2:7" x14ac:dyDescent="0.25">
      <c r="B7" s="1" t="s">
        <v>19</v>
      </c>
      <c r="C7" s="5"/>
      <c r="D7" s="10"/>
      <c r="E7" s="10"/>
      <c r="F7" s="3"/>
      <c r="G7"/>
    </row>
    <row r="8" spans="2:7" x14ac:dyDescent="0.25">
      <c r="B8" s="1" t="s">
        <v>17</v>
      </c>
      <c r="C8" s="5">
        <v>1</v>
      </c>
      <c r="D8" s="10">
        <v>27.1</v>
      </c>
      <c r="E8" s="10">
        <v>27.1</v>
      </c>
      <c r="F8" s="3">
        <v>0.16269826975493198</v>
      </c>
      <c r="G8"/>
    </row>
    <row r="9" spans="2:7" x14ac:dyDescent="0.25">
      <c r="B9" s="1" t="s">
        <v>20</v>
      </c>
      <c r="C9" s="5">
        <v>1</v>
      </c>
      <c r="D9" s="10">
        <v>13.533300000000001</v>
      </c>
      <c r="E9" s="10">
        <v>13.533300000000001</v>
      </c>
      <c r="F9" s="3">
        <v>8.1248874320089343E-2</v>
      </c>
      <c r="G9"/>
    </row>
    <row r="10" spans="2:7" x14ac:dyDescent="0.25">
      <c r="B10" s="1" t="s">
        <v>22</v>
      </c>
      <c r="C10" s="5">
        <v>1</v>
      </c>
      <c r="D10" s="10">
        <v>22.966699999999999</v>
      </c>
      <c r="E10" s="10">
        <v>22.966699999999999</v>
      </c>
      <c r="F10" s="3">
        <v>0.13788348162290023</v>
      </c>
      <c r="G10"/>
    </row>
    <row r="11" spans="2:7" x14ac:dyDescent="0.25">
      <c r="B11" s="1" t="s">
        <v>24</v>
      </c>
      <c r="C11" s="5">
        <v>1</v>
      </c>
      <c r="D11" s="10">
        <v>38.9</v>
      </c>
      <c r="E11" s="10">
        <v>38.9</v>
      </c>
      <c r="F11" s="3">
        <v>0.23354105879951489</v>
      </c>
      <c r="G11"/>
    </row>
    <row r="12" spans="2:7" x14ac:dyDescent="0.25">
      <c r="B12" s="1" t="s">
        <v>26</v>
      </c>
      <c r="C12" s="5">
        <v>1</v>
      </c>
      <c r="D12" s="10">
        <v>40.799999999999997</v>
      </c>
      <c r="E12" s="10">
        <v>40.799999999999997</v>
      </c>
      <c r="F12" s="3">
        <v>0.24494794856093077</v>
      </c>
      <c r="G12"/>
    </row>
    <row r="13" spans="2:7" x14ac:dyDescent="0.25">
      <c r="B13" s="1" t="s">
        <v>28</v>
      </c>
      <c r="C13" s="5">
        <v>1</v>
      </c>
      <c r="D13" s="10">
        <v>23.265999999999998</v>
      </c>
      <c r="E13" s="10">
        <v>23.265999999999998</v>
      </c>
      <c r="F13" s="3">
        <v>0.13968036694163274</v>
      </c>
      <c r="G13"/>
    </row>
    <row r="14" spans="2:7" x14ac:dyDescent="0.25">
      <c r="B14" s="2" t="s">
        <v>49</v>
      </c>
      <c r="C14" s="5">
        <v>6</v>
      </c>
      <c r="D14" s="10">
        <v>27.760999999999999</v>
      </c>
      <c r="E14" s="10">
        <v>166.566</v>
      </c>
      <c r="F14" s="3">
        <v>0.24900329765002627</v>
      </c>
      <c r="G14"/>
    </row>
    <row r="15" spans="2:7" x14ac:dyDescent="0.25">
      <c r="C15" s="5"/>
      <c r="D15" s="10"/>
      <c r="E15" s="10"/>
      <c r="F15" s="3"/>
      <c r="G15"/>
    </row>
    <row r="16" spans="2:7" x14ac:dyDescent="0.25">
      <c r="B16" s="1" t="s">
        <v>32</v>
      </c>
      <c r="C16" s="5"/>
      <c r="D16" s="10"/>
      <c r="E16" s="10"/>
      <c r="F16" s="3"/>
      <c r="G16"/>
    </row>
    <row r="17" spans="2:7" x14ac:dyDescent="0.25">
      <c r="B17" s="1" t="s">
        <v>30</v>
      </c>
      <c r="C17" s="5">
        <v>11</v>
      </c>
      <c r="D17" s="10">
        <v>9.3848545454545444</v>
      </c>
      <c r="E17" s="10">
        <v>103.23339999999999</v>
      </c>
      <c r="F17" s="3">
        <v>0.80567567841776522</v>
      </c>
      <c r="G17"/>
    </row>
    <row r="18" spans="2:7" x14ac:dyDescent="0.25">
      <c r="B18" s="1" t="s">
        <v>33</v>
      </c>
      <c r="C18" s="5">
        <v>6</v>
      </c>
      <c r="D18" s="10">
        <v>4.1498833333333325</v>
      </c>
      <c r="E18" s="10">
        <v>24.899299999999997</v>
      </c>
      <c r="F18" s="3">
        <v>0.19432432158223464</v>
      </c>
      <c r="G18"/>
    </row>
    <row r="19" spans="2:7" x14ac:dyDescent="0.25">
      <c r="B19" s="2" t="s">
        <v>50</v>
      </c>
      <c r="C19" s="5">
        <v>17</v>
      </c>
      <c r="D19" s="10">
        <v>7.5372176470588235</v>
      </c>
      <c r="E19" s="10">
        <v>128.1327</v>
      </c>
      <c r="F19" s="3">
        <v>0.19154848430532953</v>
      </c>
      <c r="G19"/>
    </row>
    <row r="20" spans="2:7" x14ac:dyDescent="0.25">
      <c r="C20" s="5"/>
      <c r="D20" s="10"/>
      <c r="E20" s="10"/>
      <c r="F20" s="3"/>
      <c r="G20"/>
    </row>
    <row r="21" spans="2:7" x14ac:dyDescent="0.25">
      <c r="B21" s="1" t="s">
        <v>37</v>
      </c>
      <c r="C21" s="5"/>
      <c r="D21" s="10"/>
      <c r="E21" s="10"/>
      <c r="F21" s="3"/>
      <c r="G21"/>
    </row>
    <row r="22" spans="2:7" x14ac:dyDescent="0.25">
      <c r="B22" s="1" t="s">
        <v>35</v>
      </c>
      <c r="C22" s="5">
        <v>2</v>
      </c>
      <c r="D22" s="10">
        <v>2.5167000000000002</v>
      </c>
      <c r="E22" s="10">
        <v>5.0334000000000003</v>
      </c>
      <c r="F22" s="3">
        <v>0.36919623864919976</v>
      </c>
      <c r="G22"/>
    </row>
    <row r="23" spans="2:7" x14ac:dyDescent="0.25">
      <c r="B23" s="1" t="s">
        <v>44</v>
      </c>
      <c r="C23" s="5">
        <v>1</v>
      </c>
      <c r="D23" s="10">
        <v>8.6</v>
      </c>
      <c r="E23" s="10">
        <v>8.6</v>
      </c>
      <c r="F23" s="3">
        <v>0.63080376135080019</v>
      </c>
      <c r="G23"/>
    </row>
    <row r="24" spans="2:7" x14ac:dyDescent="0.25">
      <c r="B24" s="2" t="s">
        <v>51</v>
      </c>
      <c r="C24" s="5">
        <v>3</v>
      </c>
      <c r="D24" s="10">
        <v>4.5444666666666667</v>
      </c>
      <c r="E24" s="10">
        <v>13.6334</v>
      </c>
      <c r="F24" s="3">
        <v>2.038087940024896E-2</v>
      </c>
      <c r="G24"/>
    </row>
    <row r="25" spans="2:7" x14ac:dyDescent="0.25">
      <c r="C25" s="5"/>
      <c r="D25" s="10"/>
      <c r="E25" s="10"/>
      <c r="F25" s="3"/>
      <c r="G25"/>
    </row>
    <row r="26" spans="2:7" x14ac:dyDescent="0.25">
      <c r="B26" s="1" t="s">
        <v>40</v>
      </c>
      <c r="C26" s="5"/>
      <c r="D26" s="10"/>
      <c r="E26" s="10"/>
      <c r="F26" s="3"/>
      <c r="G26"/>
    </row>
    <row r="27" spans="2:7" x14ac:dyDescent="0.25">
      <c r="B27" s="1" t="s">
        <v>38</v>
      </c>
      <c r="C27" s="5">
        <v>24</v>
      </c>
      <c r="D27" s="10">
        <v>1.8680666666666665</v>
      </c>
      <c r="E27" s="10">
        <v>44.833599999999997</v>
      </c>
      <c r="F27" s="3">
        <v>1</v>
      </c>
      <c r="G27"/>
    </row>
    <row r="28" spans="2:7" x14ac:dyDescent="0.25">
      <c r="B28" s="2" t="s">
        <v>52</v>
      </c>
      <c r="C28" s="5">
        <v>24</v>
      </c>
      <c r="D28" s="10">
        <v>1.8680666666666665</v>
      </c>
      <c r="E28" s="10">
        <v>44.833599999999997</v>
      </c>
      <c r="F28" s="3">
        <v>6.7022767224536928E-2</v>
      </c>
      <c r="G28"/>
    </row>
    <row r="29" spans="2:7" x14ac:dyDescent="0.25">
      <c r="C29" s="5"/>
      <c r="D29" s="10"/>
      <c r="E29" s="10"/>
      <c r="F29" s="3"/>
      <c r="G29"/>
    </row>
    <row r="30" spans="2:7" x14ac:dyDescent="0.25">
      <c r="B30" s="1" t="s">
        <v>43</v>
      </c>
      <c r="C30" s="5"/>
      <c r="D30" s="10"/>
      <c r="E30" s="10"/>
      <c r="F30" s="3"/>
      <c r="G30"/>
    </row>
    <row r="31" spans="2:7" x14ac:dyDescent="0.25">
      <c r="B31" s="1" t="s">
        <v>41</v>
      </c>
      <c r="C31" s="5">
        <v>21</v>
      </c>
      <c r="D31" s="10">
        <v>2.1777714285714285</v>
      </c>
      <c r="E31" s="10">
        <v>45.733199999999997</v>
      </c>
      <c r="F31" s="3">
        <v>1</v>
      </c>
      <c r="G31"/>
    </row>
    <row r="32" spans="2:7" x14ac:dyDescent="0.25">
      <c r="B32" s="2" t="s">
        <v>53</v>
      </c>
      <c r="C32" s="5">
        <v>21</v>
      </c>
      <c r="D32" s="10">
        <v>2.1777714285714285</v>
      </c>
      <c r="E32" s="10">
        <v>45.733199999999997</v>
      </c>
      <c r="F32" s="3">
        <v>6.836759970274954E-2</v>
      </c>
    </row>
    <row r="33" spans="2:6" x14ac:dyDescent="0.25">
      <c r="C33" s="5"/>
      <c r="D33" s="10"/>
      <c r="E33" s="10"/>
      <c r="F33" s="3"/>
    </row>
    <row r="34" spans="2:6" x14ac:dyDescent="0.25">
      <c r="B34" s="1" t="s">
        <v>47</v>
      </c>
      <c r="C34" s="5"/>
      <c r="D34" s="10"/>
      <c r="E34" s="10"/>
      <c r="F34" s="3"/>
    </row>
    <row r="35" spans="2:6" x14ac:dyDescent="0.25">
      <c r="B35" s="1" t="s">
        <v>45</v>
      </c>
      <c r="C35" s="5">
        <v>2</v>
      </c>
      <c r="D35" s="10">
        <v>51.732999999999997</v>
      </c>
      <c r="E35" s="10">
        <v>103.46599999999999</v>
      </c>
      <c r="F35" s="3">
        <v>1</v>
      </c>
    </row>
    <row r="36" spans="2:6" x14ac:dyDescent="0.25">
      <c r="B36" s="2" t="s">
        <v>54</v>
      </c>
      <c r="C36" s="5">
        <v>2</v>
      </c>
      <c r="D36" s="10">
        <v>51.732999999999997</v>
      </c>
      <c r="E36" s="10">
        <v>103.46599999999999</v>
      </c>
      <c r="F36" s="3">
        <v>0.15467367406708221</v>
      </c>
    </row>
    <row r="37" spans="2:6" x14ac:dyDescent="0.25">
      <c r="C37" s="5"/>
      <c r="D37" s="10"/>
      <c r="E37" s="10"/>
      <c r="F37" s="3"/>
    </row>
    <row r="38" spans="2:6" ht="18.75" x14ac:dyDescent="0.25">
      <c r="B38" s="4" t="s">
        <v>0</v>
      </c>
      <c r="C38" s="8">
        <v>74</v>
      </c>
      <c r="D38" s="11">
        <v>9.0396067567567595</v>
      </c>
      <c r="E38" s="11">
        <v>668.93090000000018</v>
      </c>
      <c r="F38" s="9">
        <v>1</v>
      </c>
    </row>
    <row r="39" spans="2:6" x14ac:dyDescent="0.25">
      <c r="C39"/>
      <c r="D39"/>
      <c r="E39"/>
      <c r="F39"/>
    </row>
    <row r="40" spans="2:6" x14ac:dyDescent="0.25">
      <c r="C40"/>
      <c r="D40"/>
      <c r="E40"/>
      <c r="F40"/>
    </row>
    <row r="41" spans="2:6" x14ac:dyDescent="0.25">
      <c r="C41"/>
      <c r="D41"/>
      <c r="E41"/>
      <c r="F41"/>
    </row>
    <row r="42" spans="2:6" x14ac:dyDescent="0.25">
      <c r="C42"/>
      <c r="D42"/>
      <c r="E42"/>
      <c r="F42"/>
    </row>
    <row r="43" spans="2:6" x14ac:dyDescent="0.25">
      <c r="C43"/>
      <c r="D43"/>
      <c r="E43"/>
      <c r="F43"/>
    </row>
    <row r="44" spans="2:6" x14ac:dyDescent="0.25">
      <c r="C44"/>
      <c r="D44"/>
      <c r="E44"/>
      <c r="F44"/>
    </row>
    <row r="45" spans="2:6" x14ac:dyDescent="0.25">
      <c r="C45"/>
      <c r="D45"/>
      <c r="E45"/>
      <c r="F45"/>
    </row>
    <row r="46" spans="2:6" x14ac:dyDescent="0.25">
      <c r="C46"/>
      <c r="D46"/>
      <c r="E46"/>
      <c r="F46"/>
    </row>
    <row r="47" spans="2:6" x14ac:dyDescent="0.25">
      <c r="C47"/>
      <c r="D47"/>
      <c r="E47"/>
      <c r="F47"/>
    </row>
    <row r="48" spans="2:6" x14ac:dyDescent="0.25">
      <c r="C48"/>
      <c r="D48"/>
      <c r="E48"/>
      <c r="F48"/>
    </row>
    <row r="49" spans="3:6" x14ac:dyDescent="0.25">
      <c r="C49"/>
      <c r="D49"/>
      <c r="E49"/>
      <c r="F49"/>
    </row>
    <row r="50" spans="3:6" x14ac:dyDescent="0.25">
      <c r="C50"/>
      <c r="D50"/>
      <c r="E50"/>
      <c r="F50"/>
    </row>
    <row r="51" spans="3:6" x14ac:dyDescent="0.25">
      <c r="C51"/>
      <c r="D51"/>
      <c r="E51"/>
      <c r="F51"/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Bouton_Cliquer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7B90A-5C7F-42FD-8FAD-D0FBA6D0D6D5}">
  <sheetPr codeName="Feuil2"/>
  <dimension ref="A1:E80"/>
  <sheetViews>
    <sheetView zoomScaleNormal="100" workbookViewId="0">
      <selection activeCell="H8" sqref="H8"/>
    </sheetView>
  </sheetViews>
  <sheetFormatPr baseColWidth="10" defaultRowHeight="15" x14ac:dyDescent="0.25"/>
  <cols>
    <col min="1" max="1" width="28.85546875" bestFit="1" customWidth="1"/>
    <col min="2" max="2" width="8.28515625" bestFit="1" customWidth="1"/>
    <col min="3" max="3" width="11.28515625" bestFit="1" customWidth="1"/>
    <col min="4" max="4" width="10.5703125" bestFit="1" customWidth="1"/>
    <col min="5" max="5" width="11" bestFit="1" customWidth="1"/>
    <col min="8" max="8" width="13.28515625" customWidth="1"/>
  </cols>
  <sheetData>
    <row r="1" spans="1:5" x14ac:dyDescent="0.25">
      <c r="A1" s="4" t="s">
        <v>6</v>
      </c>
      <c r="B1" s="12" t="s">
        <v>7</v>
      </c>
    </row>
    <row r="2" spans="1:5" x14ac:dyDescent="0.25">
      <c r="A2" s="4" t="s">
        <v>8</v>
      </c>
      <c r="B2" s="12" t="str" cm="1">
        <f t="array" aca="1" ref="B2" ca="1">_xlfn.LET(
_xlpm.excelPath,  CELL("nomfichier", 'Data brute'!$A$1),
_xlpm.indexBegin,  FIND("[", _xlpm.excelPath),
_xlpm.indexEnd,  FIND(".xlsx]", _xlpm.excelPath),
LEFT(_xlpm.excelPath, _xlpm.indexBegin - 1))</f>
        <v>C:\Users\Cristopher Cruz\Documents\Github\openshot-qt-SCE\src\SCE\Export\</v>
      </c>
    </row>
    <row r="3" spans="1:5" x14ac:dyDescent="0.25">
      <c r="A3" s="4" t="str">
        <f>"Le chemin vers le fichier data (" &amp; NomFichierCSV &amp; ")"</f>
        <v>Le chemin vers le fichier data (ExportSCE.csv)</v>
      </c>
      <c r="B3" s="12" t="str">
        <f ca="1">PathFileExcel &amp; NomFichierCSV</f>
        <v>C:\Users\Cristopher Cruz\Documents\Github\openshot-qt-SCE\src\SCE\Export\ExportSCE.csv</v>
      </c>
    </row>
    <row r="6" spans="1:5" x14ac:dyDescent="0.25">
      <c r="A6" t="s">
        <v>9</v>
      </c>
      <c r="B6" t="s">
        <v>10</v>
      </c>
      <c r="C6" t="s">
        <v>11</v>
      </c>
      <c r="D6" t="s">
        <v>12</v>
      </c>
      <c r="E6" t="s">
        <v>13</v>
      </c>
    </row>
    <row r="7" spans="1:5" x14ac:dyDescent="0.25">
      <c r="A7" t="s">
        <v>14</v>
      </c>
      <c r="B7" t="s">
        <v>15</v>
      </c>
      <c r="C7" t="s">
        <v>16</v>
      </c>
      <c r="D7">
        <v>0</v>
      </c>
      <c r="E7">
        <v>166.566</v>
      </c>
    </row>
    <row r="8" spans="1:5" x14ac:dyDescent="0.25">
      <c r="A8" t="s">
        <v>17</v>
      </c>
      <c r="B8" t="s">
        <v>18</v>
      </c>
      <c r="C8" t="s">
        <v>19</v>
      </c>
      <c r="D8">
        <v>0</v>
      </c>
      <c r="E8">
        <v>27.1</v>
      </c>
    </row>
    <row r="9" spans="1:5" x14ac:dyDescent="0.25">
      <c r="A9" t="s">
        <v>20</v>
      </c>
      <c r="B9" t="s">
        <v>21</v>
      </c>
      <c r="C9" t="s">
        <v>19</v>
      </c>
      <c r="D9">
        <v>27.1</v>
      </c>
      <c r="E9">
        <v>13.533300000000001</v>
      </c>
    </row>
    <row r="10" spans="1:5" x14ac:dyDescent="0.25">
      <c r="A10" t="s">
        <v>22</v>
      </c>
      <c r="B10" t="s">
        <v>23</v>
      </c>
      <c r="C10" t="s">
        <v>19</v>
      </c>
      <c r="D10">
        <v>40.633299999999998</v>
      </c>
      <c r="E10">
        <v>22.966699999999999</v>
      </c>
    </row>
    <row r="11" spans="1:5" x14ac:dyDescent="0.25">
      <c r="A11" t="s">
        <v>24</v>
      </c>
      <c r="B11" t="s">
        <v>25</v>
      </c>
      <c r="C11" t="s">
        <v>19</v>
      </c>
      <c r="D11">
        <v>63.6</v>
      </c>
      <c r="E11">
        <v>38.9</v>
      </c>
    </row>
    <row r="12" spans="1:5" x14ac:dyDescent="0.25">
      <c r="A12" t="s">
        <v>26</v>
      </c>
      <c r="B12" t="s">
        <v>27</v>
      </c>
      <c r="C12" t="s">
        <v>19</v>
      </c>
      <c r="D12">
        <v>102.5</v>
      </c>
      <c r="E12">
        <v>40.799999999999997</v>
      </c>
    </row>
    <row r="13" spans="1:5" x14ac:dyDescent="0.25">
      <c r="A13" t="s">
        <v>28</v>
      </c>
      <c r="B13" t="s">
        <v>29</v>
      </c>
      <c r="C13" t="s">
        <v>19</v>
      </c>
      <c r="D13">
        <v>143.30000000000001</v>
      </c>
      <c r="E13">
        <v>23.265999999999998</v>
      </c>
    </row>
    <row r="14" spans="1:5" x14ac:dyDescent="0.25">
      <c r="A14" t="s">
        <v>30</v>
      </c>
      <c r="B14" t="s">
        <v>31</v>
      </c>
      <c r="C14" t="s">
        <v>32</v>
      </c>
      <c r="D14">
        <v>0</v>
      </c>
      <c r="E14">
        <v>15.466699999999999</v>
      </c>
    </row>
    <row r="15" spans="1:5" x14ac:dyDescent="0.25">
      <c r="A15" t="s">
        <v>33</v>
      </c>
      <c r="B15" t="s">
        <v>34</v>
      </c>
      <c r="C15" t="s">
        <v>32</v>
      </c>
      <c r="D15">
        <v>15.466699999999999</v>
      </c>
      <c r="E15">
        <v>11.7</v>
      </c>
    </row>
    <row r="16" spans="1:5" x14ac:dyDescent="0.25">
      <c r="A16" t="s">
        <v>30</v>
      </c>
      <c r="B16" t="s">
        <v>31</v>
      </c>
      <c r="C16" t="s">
        <v>32</v>
      </c>
      <c r="D16">
        <v>27.333300000000001</v>
      </c>
      <c r="E16">
        <v>13.2333</v>
      </c>
    </row>
    <row r="17" spans="1:5" x14ac:dyDescent="0.25">
      <c r="A17" t="s">
        <v>30</v>
      </c>
      <c r="B17" t="s">
        <v>31</v>
      </c>
      <c r="C17" t="s">
        <v>32</v>
      </c>
      <c r="D17">
        <v>40.700000000000003</v>
      </c>
      <c r="E17">
        <v>9.6</v>
      </c>
    </row>
    <row r="18" spans="1:5" x14ac:dyDescent="0.25">
      <c r="A18" t="s">
        <v>30</v>
      </c>
      <c r="B18" t="s">
        <v>31</v>
      </c>
      <c r="C18" t="s">
        <v>32</v>
      </c>
      <c r="D18">
        <v>50.3</v>
      </c>
      <c r="E18">
        <v>12.7333</v>
      </c>
    </row>
    <row r="19" spans="1:5" x14ac:dyDescent="0.25">
      <c r="A19" t="s">
        <v>30</v>
      </c>
      <c r="B19" t="s">
        <v>31</v>
      </c>
      <c r="C19" t="s">
        <v>32</v>
      </c>
      <c r="D19">
        <v>63.033299999999997</v>
      </c>
      <c r="E19">
        <v>7.0667</v>
      </c>
    </row>
    <row r="20" spans="1:5" x14ac:dyDescent="0.25">
      <c r="A20" t="s">
        <v>33</v>
      </c>
      <c r="B20" t="s">
        <v>34</v>
      </c>
      <c r="C20" t="s">
        <v>32</v>
      </c>
      <c r="D20">
        <v>70.099999999999994</v>
      </c>
      <c r="E20">
        <v>3.2</v>
      </c>
    </row>
    <row r="21" spans="1:5" x14ac:dyDescent="0.25">
      <c r="A21" t="s">
        <v>30</v>
      </c>
      <c r="B21" t="s">
        <v>31</v>
      </c>
      <c r="C21" t="s">
        <v>32</v>
      </c>
      <c r="D21">
        <v>73.3</v>
      </c>
      <c r="E21">
        <v>8.0667000000000009</v>
      </c>
    </row>
    <row r="22" spans="1:5" x14ac:dyDescent="0.25">
      <c r="A22" t="s">
        <v>33</v>
      </c>
      <c r="B22" t="s">
        <v>34</v>
      </c>
      <c r="C22" t="s">
        <v>32</v>
      </c>
      <c r="D22">
        <v>81.366699999999994</v>
      </c>
      <c r="E22">
        <v>2.1333000000000002</v>
      </c>
    </row>
    <row r="23" spans="1:5" x14ac:dyDescent="0.25">
      <c r="A23" t="s">
        <v>35</v>
      </c>
      <c r="B23" t="s">
        <v>36</v>
      </c>
      <c r="C23" t="s">
        <v>37</v>
      </c>
      <c r="D23">
        <v>83.7</v>
      </c>
      <c r="E23">
        <v>2.4666999999999999</v>
      </c>
    </row>
    <row r="24" spans="1:5" x14ac:dyDescent="0.25">
      <c r="A24" t="s">
        <v>30</v>
      </c>
      <c r="B24" t="s">
        <v>31</v>
      </c>
      <c r="C24" t="s">
        <v>32</v>
      </c>
      <c r="D24">
        <v>83.5</v>
      </c>
      <c r="E24">
        <v>9.4666999999999994</v>
      </c>
    </row>
    <row r="25" spans="1:5" x14ac:dyDescent="0.25">
      <c r="A25" t="s">
        <v>30</v>
      </c>
      <c r="B25" t="s">
        <v>31</v>
      </c>
      <c r="C25" t="s">
        <v>32</v>
      </c>
      <c r="D25">
        <v>92.966700000000003</v>
      </c>
      <c r="E25">
        <v>9.2667000000000002</v>
      </c>
    </row>
    <row r="26" spans="1:5" x14ac:dyDescent="0.25">
      <c r="A26" t="s">
        <v>33</v>
      </c>
      <c r="B26" t="s">
        <v>34</v>
      </c>
      <c r="C26" t="s">
        <v>32</v>
      </c>
      <c r="D26">
        <v>113.4</v>
      </c>
      <c r="E26">
        <v>4.5999999999999996</v>
      </c>
    </row>
    <row r="27" spans="1:5" x14ac:dyDescent="0.25">
      <c r="A27" t="s">
        <v>30</v>
      </c>
      <c r="B27" t="s">
        <v>31</v>
      </c>
      <c r="C27" t="s">
        <v>32</v>
      </c>
      <c r="D27">
        <v>134.5</v>
      </c>
      <c r="E27">
        <v>8.2332999999999998</v>
      </c>
    </row>
    <row r="28" spans="1:5" x14ac:dyDescent="0.25">
      <c r="A28" t="s">
        <v>30</v>
      </c>
      <c r="B28" t="s">
        <v>31</v>
      </c>
      <c r="C28" t="s">
        <v>32</v>
      </c>
      <c r="D28">
        <v>153.19999999999999</v>
      </c>
      <c r="E28">
        <v>7.3333000000000004</v>
      </c>
    </row>
    <row r="29" spans="1:5" x14ac:dyDescent="0.25">
      <c r="A29" t="s">
        <v>33</v>
      </c>
      <c r="B29" t="s">
        <v>34</v>
      </c>
      <c r="C29" t="s">
        <v>32</v>
      </c>
      <c r="D29">
        <v>160.5333</v>
      </c>
      <c r="E29">
        <v>1.7333000000000001</v>
      </c>
    </row>
    <row r="30" spans="1:5" x14ac:dyDescent="0.25">
      <c r="A30" t="s">
        <v>35</v>
      </c>
      <c r="B30" t="s">
        <v>36</v>
      </c>
      <c r="C30" t="s">
        <v>37</v>
      </c>
      <c r="D30">
        <v>162.23330000000001</v>
      </c>
      <c r="E30">
        <v>2.5667</v>
      </c>
    </row>
    <row r="31" spans="1:5" x14ac:dyDescent="0.25">
      <c r="A31" t="s">
        <v>30</v>
      </c>
      <c r="B31" t="s">
        <v>31</v>
      </c>
      <c r="C31" t="s">
        <v>32</v>
      </c>
      <c r="D31">
        <v>162.26669999999999</v>
      </c>
      <c r="E31">
        <v>2.7667000000000002</v>
      </c>
    </row>
    <row r="32" spans="1:5" x14ac:dyDescent="0.25">
      <c r="A32" t="s">
        <v>33</v>
      </c>
      <c r="B32" t="s">
        <v>34</v>
      </c>
      <c r="C32" t="s">
        <v>32</v>
      </c>
      <c r="D32">
        <v>165.0333</v>
      </c>
      <c r="E32">
        <v>1.5327</v>
      </c>
    </row>
    <row r="33" spans="1:5" x14ac:dyDescent="0.25">
      <c r="A33" t="s">
        <v>38</v>
      </c>
      <c r="B33" t="s">
        <v>39</v>
      </c>
      <c r="C33" t="s">
        <v>40</v>
      </c>
      <c r="D33">
        <v>0.86670000000000003</v>
      </c>
      <c r="E33">
        <v>2.9666999999999999</v>
      </c>
    </row>
    <row r="34" spans="1:5" x14ac:dyDescent="0.25">
      <c r="A34" t="s">
        <v>41</v>
      </c>
      <c r="B34" t="s">
        <v>42</v>
      </c>
      <c r="C34" t="s">
        <v>43</v>
      </c>
      <c r="D34">
        <v>0.86670000000000003</v>
      </c>
      <c r="E34">
        <v>6.9333</v>
      </c>
    </row>
    <row r="35" spans="1:5" x14ac:dyDescent="0.25">
      <c r="A35" t="s">
        <v>38</v>
      </c>
      <c r="B35" t="s">
        <v>39</v>
      </c>
      <c r="C35" t="s">
        <v>40</v>
      </c>
      <c r="D35">
        <v>3.8332999999999999</v>
      </c>
      <c r="E35">
        <v>3.9666999999999999</v>
      </c>
    </row>
    <row r="36" spans="1:5" x14ac:dyDescent="0.25">
      <c r="A36" t="s">
        <v>38</v>
      </c>
      <c r="B36" t="s">
        <v>39</v>
      </c>
      <c r="C36" t="s">
        <v>40</v>
      </c>
      <c r="D36">
        <v>7.8</v>
      </c>
      <c r="E36">
        <v>1.8</v>
      </c>
    </row>
    <row r="37" spans="1:5" x14ac:dyDescent="0.25">
      <c r="A37" t="s">
        <v>41</v>
      </c>
      <c r="B37" t="s">
        <v>42</v>
      </c>
      <c r="C37" t="s">
        <v>43</v>
      </c>
      <c r="D37">
        <v>7.8</v>
      </c>
      <c r="E37">
        <v>1.8</v>
      </c>
    </row>
    <row r="38" spans="1:5" x14ac:dyDescent="0.25">
      <c r="A38" t="s">
        <v>38</v>
      </c>
      <c r="B38" t="s">
        <v>39</v>
      </c>
      <c r="C38" t="s">
        <v>40</v>
      </c>
      <c r="D38">
        <v>9.6</v>
      </c>
      <c r="E38">
        <v>2.4666999999999999</v>
      </c>
    </row>
    <row r="39" spans="1:5" x14ac:dyDescent="0.25">
      <c r="A39" t="s">
        <v>41</v>
      </c>
      <c r="B39" t="s">
        <v>42</v>
      </c>
      <c r="C39" t="s">
        <v>43</v>
      </c>
      <c r="D39">
        <v>9.6</v>
      </c>
      <c r="E39">
        <v>4.4333</v>
      </c>
    </row>
    <row r="40" spans="1:5" x14ac:dyDescent="0.25">
      <c r="A40" t="s">
        <v>38</v>
      </c>
      <c r="B40" t="s">
        <v>39</v>
      </c>
      <c r="C40" t="s">
        <v>40</v>
      </c>
      <c r="D40">
        <v>12.066700000000001</v>
      </c>
      <c r="E40">
        <v>1.9666999999999999</v>
      </c>
    </row>
    <row r="41" spans="1:5" x14ac:dyDescent="0.25">
      <c r="A41" t="s">
        <v>38</v>
      </c>
      <c r="B41" t="s">
        <v>39</v>
      </c>
      <c r="C41" t="s">
        <v>40</v>
      </c>
      <c r="D41">
        <v>14.033300000000001</v>
      </c>
      <c r="E41">
        <v>1.3667</v>
      </c>
    </row>
    <row r="42" spans="1:5" x14ac:dyDescent="0.25">
      <c r="A42" t="s">
        <v>41</v>
      </c>
      <c r="B42" t="s">
        <v>42</v>
      </c>
      <c r="C42" t="s">
        <v>43</v>
      </c>
      <c r="D42">
        <v>14.033300000000001</v>
      </c>
      <c r="E42">
        <v>1.3667</v>
      </c>
    </row>
    <row r="43" spans="1:5" x14ac:dyDescent="0.25">
      <c r="A43" t="s">
        <v>38</v>
      </c>
      <c r="B43" t="s">
        <v>39</v>
      </c>
      <c r="C43" t="s">
        <v>40</v>
      </c>
      <c r="D43">
        <v>15.4</v>
      </c>
      <c r="E43">
        <v>2.0667</v>
      </c>
    </row>
    <row r="44" spans="1:5" x14ac:dyDescent="0.25">
      <c r="A44" t="s">
        <v>41</v>
      </c>
      <c r="B44" t="s">
        <v>42</v>
      </c>
      <c r="C44" t="s">
        <v>43</v>
      </c>
      <c r="D44">
        <v>15.4</v>
      </c>
      <c r="E44">
        <v>1.0667</v>
      </c>
    </row>
    <row r="45" spans="1:5" x14ac:dyDescent="0.25">
      <c r="A45" t="s">
        <v>41</v>
      </c>
      <c r="B45" t="s">
        <v>42</v>
      </c>
      <c r="C45" t="s">
        <v>43</v>
      </c>
      <c r="D45">
        <v>16.466699999999999</v>
      </c>
      <c r="E45">
        <v>2.4333</v>
      </c>
    </row>
    <row r="46" spans="1:5" x14ac:dyDescent="0.25">
      <c r="A46" t="s">
        <v>38</v>
      </c>
      <c r="B46" t="s">
        <v>39</v>
      </c>
      <c r="C46" t="s">
        <v>40</v>
      </c>
      <c r="D46">
        <v>17.466699999999999</v>
      </c>
      <c r="E46">
        <v>1.4333</v>
      </c>
    </row>
    <row r="47" spans="1:5" x14ac:dyDescent="0.25">
      <c r="A47" t="s">
        <v>38</v>
      </c>
      <c r="B47" t="s">
        <v>39</v>
      </c>
      <c r="C47" t="s">
        <v>40</v>
      </c>
      <c r="D47">
        <v>18.899999999999999</v>
      </c>
      <c r="E47">
        <v>0.73329999999999995</v>
      </c>
    </row>
    <row r="48" spans="1:5" x14ac:dyDescent="0.25">
      <c r="A48" t="s">
        <v>41</v>
      </c>
      <c r="B48" t="s">
        <v>42</v>
      </c>
      <c r="C48" t="s">
        <v>43</v>
      </c>
      <c r="D48">
        <v>18.899999999999999</v>
      </c>
      <c r="E48">
        <v>0.73329999999999995</v>
      </c>
    </row>
    <row r="49" spans="1:5" x14ac:dyDescent="0.25">
      <c r="A49" t="s">
        <v>38</v>
      </c>
      <c r="B49" t="s">
        <v>39</v>
      </c>
      <c r="C49" t="s">
        <v>40</v>
      </c>
      <c r="D49">
        <v>19.633299999999998</v>
      </c>
      <c r="E49">
        <v>2.1</v>
      </c>
    </row>
    <row r="50" spans="1:5" x14ac:dyDescent="0.25">
      <c r="A50" t="s">
        <v>41</v>
      </c>
      <c r="B50" t="s">
        <v>42</v>
      </c>
      <c r="C50" t="s">
        <v>43</v>
      </c>
      <c r="D50">
        <v>19.633299999999998</v>
      </c>
      <c r="E50">
        <v>2.1</v>
      </c>
    </row>
    <row r="51" spans="1:5" x14ac:dyDescent="0.25">
      <c r="A51" t="s">
        <v>38</v>
      </c>
      <c r="B51" t="s">
        <v>39</v>
      </c>
      <c r="C51" t="s">
        <v>40</v>
      </c>
      <c r="D51">
        <v>21.7333</v>
      </c>
      <c r="E51">
        <v>1.7666999999999999</v>
      </c>
    </row>
    <row r="52" spans="1:5" x14ac:dyDescent="0.25">
      <c r="A52" t="s">
        <v>41</v>
      </c>
      <c r="B52" t="s">
        <v>42</v>
      </c>
      <c r="C52" t="s">
        <v>43</v>
      </c>
      <c r="D52">
        <v>21.7333</v>
      </c>
      <c r="E52">
        <v>1.7666999999999999</v>
      </c>
    </row>
    <row r="53" spans="1:5" x14ac:dyDescent="0.25">
      <c r="A53" t="s">
        <v>38</v>
      </c>
      <c r="B53" t="s">
        <v>39</v>
      </c>
      <c r="C53" t="s">
        <v>40</v>
      </c>
      <c r="D53">
        <v>23.5</v>
      </c>
      <c r="E53">
        <v>2.4333</v>
      </c>
    </row>
    <row r="54" spans="1:5" x14ac:dyDescent="0.25">
      <c r="A54" t="s">
        <v>41</v>
      </c>
      <c r="B54" t="s">
        <v>42</v>
      </c>
      <c r="C54" t="s">
        <v>43</v>
      </c>
      <c r="D54">
        <v>23.5</v>
      </c>
      <c r="E54">
        <v>2.4333</v>
      </c>
    </row>
    <row r="55" spans="1:5" x14ac:dyDescent="0.25">
      <c r="A55" t="s">
        <v>38</v>
      </c>
      <c r="B55" t="s">
        <v>39</v>
      </c>
      <c r="C55" t="s">
        <v>40</v>
      </c>
      <c r="D55">
        <v>29.033300000000001</v>
      </c>
      <c r="E55">
        <v>2.4</v>
      </c>
    </row>
    <row r="56" spans="1:5" x14ac:dyDescent="0.25">
      <c r="A56" t="s">
        <v>41</v>
      </c>
      <c r="B56" t="s">
        <v>42</v>
      </c>
      <c r="C56" t="s">
        <v>43</v>
      </c>
      <c r="D56">
        <v>29.033300000000001</v>
      </c>
      <c r="E56">
        <v>2.4</v>
      </c>
    </row>
    <row r="57" spans="1:5" x14ac:dyDescent="0.25">
      <c r="A57" t="s">
        <v>41</v>
      </c>
      <c r="B57" t="s">
        <v>42</v>
      </c>
      <c r="C57" t="s">
        <v>43</v>
      </c>
      <c r="D57">
        <v>31.433299999999999</v>
      </c>
      <c r="E57">
        <v>4.4667000000000003</v>
      </c>
    </row>
    <row r="58" spans="1:5" x14ac:dyDescent="0.25">
      <c r="A58" t="s">
        <v>38</v>
      </c>
      <c r="B58" t="s">
        <v>39</v>
      </c>
      <c r="C58" t="s">
        <v>40</v>
      </c>
      <c r="D58">
        <v>31.433299999999999</v>
      </c>
      <c r="E58">
        <v>4.4667000000000003</v>
      </c>
    </row>
    <row r="59" spans="1:5" x14ac:dyDescent="0.25">
      <c r="A59" t="s">
        <v>38</v>
      </c>
      <c r="B59" t="s">
        <v>39</v>
      </c>
      <c r="C59" t="s">
        <v>40</v>
      </c>
      <c r="D59">
        <v>35.9</v>
      </c>
      <c r="E59">
        <v>1.7333000000000001</v>
      </c>
    </row>
    <row r="60" spans="1:5" x14ac:dyDescent="0.25">
      <c r="A60" t="s">
        <v>41</v>
      </c>
      <c r="B60" t="s">
        <v>42</v>
      </c>
      <c r="C60" t="s">
        <v>43</v>
      </c>
      <c r="D60">
        <v>35.9</v>
      </c>
      <c r="E60">
        <v>2.3332999999999999</v>
      </c>
    </row>
    <row r="61" spans="1:5" x14ac:dyDescent="0.25">
      <c r="A61" t="s">
        <v>38</v>
      </c>
      <c r="B61" t="s">
        <v>39</v>
      </c>
      <c r="C61" t="s">
        <v>40</v>
      </c>
      <c r="D61">
        <v>37.633299999999998</v>
      </c>
      <c r="E61">
        <v>1.0667</v>
      </c>
    </row>
    <row r="62" spans="1:5" x14ac:dyDescent="0.25">
      <c r="A62" t="s">
        <v>41</v>
      </c>
      <c r="B62" t="s">
        <v>42</v>
      </c>
      <c r="C62" t="s">
        <v>43</v>
      </c>
      <c r="D62">
        <v>38.2333</v>
      </c>
      <c r="E62">
        <v>2.4333</v>
      </c>
    </row>
    <row r="63" spans="1:5" x14ac:dyDescent="0.25">
      <c r="A63" t="s">
        <v>38</v>
      </c>
      <c r="B63" t="s">
        <v>39</v>
      </c>
      <c r="C63" t="s">
        <v>40</v>
      </c>
      <c r="D63">
        <v>38.700000000000003</v>
      </c>
      <c r="E63">
        <v>1.9666999999999999</v>
      </c>
    </row>
    <row r="64" spans="1:5" x14ac:dyDescent="0.25">
      <c r="A64" t="s">
        <v>38</v>
      </c>
      <c r="B64" t="s">
        <v>39</v>
      </c>
      <c r="C64" t="s">
        <v>40</v>
      </c>
      <c r="D64">
        <v>40.666699999999999</v>
      </c>
      <c r="E64">
        <v>0.66669999999999996</v>
      </c>
    </row>
    <row r="65" spans="1:5" x14ac:dyDescent="0.25">
      <c r="A65" t="s">
        <v>41</v>
      </c>
      <c r="B65" t="s">
        <v>42</v>
      </c>
      <c r="C65" t="s">
        <v>43</v>
      </c>
      <c r="D65">
        <v>40.666699999999999</v>
      </c>
      <c r="E65">
        <v>1.0667</v>
      </c>
    </row>
    <row r="66" spans="1:5" x14ac:dyDescent="0.25">
      <c r="A66" t="s">
        <v>38</v>
      </c>
      <c r="B66" t="s">
        <v>39</v>
      </c>
      <c r="C66" t="s">
        <v>40</v>
      </c>
      <c r="D66">
        <v>41.333300000000001</v>
      </c>
      <c r="E66">
        <v>1.2666999999999999</v>
      </c>
    </row>
    <row r="67" spans="1:5" x14ac:dyDescent="0.25">
      <c r="A67" t="s">
        <v>41</v>
      </c>
      <c r="B67" t="s">
        <v>42</v>
      </c>
      <c r="C67" t="s">
        <v>43</v>
      </c>
      <c r="D67">
        <v>41.7333</v>
      </c>
      <c r="E67">
        <v>1.2</v>
      </c>
    </row>
    <row r="68" spans="1:5" x14ac:dyDescent="0.25">
      <c r="A68" t="s">
        <v>38</v>
      </c>
      <c r="B68" t="s">
        <v>39</v>
      </c>
      <c r="C68" t="s">
        <v>40</v>
      </c>
      <c r="D68">
        <v>42.6</v>
      </c>
      <c r="E68">
        <v>0.4</v>
      </c>
    </row>
    <row r="69" spans="1:5" x14ac:dyDescent="0.25">
      <c r="A69" t="s">
        <v>41</v>
      </c>
      <c r="B69" t="s">
        <v>42</v>
      </c>
      <c r="C69" t="s">
        <v>43</v>
      </c>
      <c r="D69">
        <v>42.933300000000003</v>
      </c>
      <c r="E69">
        <v>1.8</v>
      </c>
    </row>
    <row r="70" spans="1:5" x14ac:dyDescent="0.25">
      <c r="A70" t="s">
        <v>38</v>
      </c>
      <c r="B70" t="s">
        <v>39</v>
      </c>
      <c r="C70" t="s">
        <v>40</v>
      </c>
      <c r="D70">
        <v>43</v>
      </c>
      <c r="E70">
        <v>1.6667000000000001</v>
      </c>
    </row>
    <row r="71" spans="1:5" x14ac:dyDescent="0.25">
      <c r="A71" t="s">
        <v>38</v>
      </c>
      <c r="B71" t="s">
        <v>39</v>
      </c>
      <c r="C71" t="s">
        <v>40</v>
      </c>
      <c r="D71">
        <v>44.666699999999999</v>
      </c>
      <c r="E71">
        <v>1.7666999999999999</v>
      </c>
    </row>
    <row r="72" spans="1:5" x14ac:dyDescent="0.25">
      <c r="A72" t="s">
        <v>41</v>
      </c>
      <c r="B72" t="s">
        <v>42</v>
      </c>
      <c r="C72" t="s">
        <v>43</v>
      </c>
      <c r="D72">
        <v>44.7333</v>
      </c>
      <c r="E72">
        <v>1.3332999999999999</v>
      </c>
    </row>
    <row r="73" spans="1:5" x14ac:dyDescent="0.25">
      <c r="A73" t="s">
        <v>41</v>
      </c>
      <c r="B73" t="s">
        <v>42</v>
      </c>
      <c r="C73" t="s">
        <v>43</v>
      </c>
      <c r="D73">
        <v>46.066699999999997</v>
      </c>
      <c r="E73">
        <v>0.83330000000000004</v>
      </c>
    </row>
    <row r="74" spans="1:5" x14ac:dyDescent="0.25">
      <c r="A74" t="s">
        <v>38</v>
      </c>
      <c r="B74" t="s">
        <v>39</v>
      </c>
      <c r="C74" t="s">
        <v>40</v>
      </c>
      <c r="D74">
        <v>46.433300000000003</v>
      </c>
      <c r="E74">
        <v>0.93330000000000002</v>
      </c>
    </row>
    <row r="75" spans="1:5" x14ac:dyDescent="0.25">
      <c r="A75" t="s">
        <v>41</v>
      </c>
      <c r="B75" t="s">
        <v>42</v>
      </c>
      <c r="C75" t="s">
        <v>43</v>
      </c>
      <c r="D75">
        <v>46.9</v>
      </c>
      <c r="E75">
        <v>0.9</v>
      </c>
    </row>
    <row r="76" spans="1:5" x14ac:dyDescent="0.25">
      <c r="A76" t="s">
        <v>38</v>
      </c>
      <c r="B76" t="s">
        <v>39</v>
      </c>
      <c r="C76" t="s">
        <v>40</v>
      </c>
      <c r="D76">
        <v>47.366700000000002</v>
      </c>
      <c r="E76">
        <v>1.4333</v>
      </c>
    </row>
    <row r="77" spans="1:5" x14ac:dyDescent="0.25">
      <c r="A77" t="s">
        <v>41</v>
      </c>
      <c r="B77" t="s">
        <v>42</v>
      </c>
      <c r="C77" t="s">
        <v>43</v>
      </c>
      <c r="D77">
        <v>47.8</v>
      </c>
      <c r="E77">
        <v>1.9</v>
      </c>
    </row>
    <row r="78" spans="1:5" x14ac:dyDescent="0.25">
      <c r="A78" t="s">
        <v>44</v>
      </c>
      <c r="B78" t="s">
        <v>36</v>
      </c>
      <c r="C78" t="s">
        <v>37</v>
      </c>
      <c r="D78">
        <v>41.166699999999999</v>
      </c>
      <c r="E78">
        <v>8.6</v>
      </c>
    </row>
    <row r="79" spans="1:5" x14ac:dyDescent="0.25">
      <c r="A79" t="s">
        <v>45</v>
      </c>
      <c r="B79" t="s">
        <v>46</v>
      </c>
      <c r="C79" t="s">
        <v>47</v>
      </c>
      <c r="D79">
        <v>0.86670000000000003</v>
      </c>
      <c r="E79">
        <v>39.566699999999997</v>
      </c>
    </row>
    <row r="80" spans="1:5" x14ac:dyDescent="0.25">
      <c r="A80" t="s">
        <v>45</v>
      </c>
      <c r="B80" t="s">
        <v>46</v>
      </c>
      <c r="C80" t="s">
        <v>47</v>
      </c>
      <c r="D80">
        <v>102.66670000000001</v>
      </c>
      <c r="E80">
        <v>63.899299999999997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C840251-D14C-47B8-BBDE-72FC5D93F2E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Rapport Général</vt:lpstr>
      <vt:lpstr>Data brute</vt:lpstr>
      <vt:lpstr>FilePath</vt:lpstr>
      <vt:lpstr>NomFichierCSV</vt:lpstr>
      <vt:lpstr>PathFileExcel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Cristopher Cruz</dc:creator>
  <cp:lastModifiedBy>Cristopher Cruz</cp:lastModifiedBy>
  <dcterms:created xsi:type="dcterms:W3CDTF">2023-08-02T17:43:03Z</dcterms:created>
  <dcterms:modified xsi:type="dcterms:W3CDTF">2023-08-06T22:10:06Z</dcterms:modified>
</cp:coreProperties>
</file>